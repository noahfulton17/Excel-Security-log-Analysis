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hidePivotFieldList="1" defaultThemeVersion="166925"/>
  <xr:revisionPtr revIDLastSave="0" documentId="8_{22215D77-B9AE-4F56-8BB0-7137D2274D19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PivotTable" sheetId="4" r:id="rId1"/>
    <sheet name="Logs" sheetId="1" r:id="rId2"/>
  </sheets>
  <calcPr calcId="191028"/>
  <pivotCaches>
    <pivotCache cacheId="1052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2" i="1"/>
  <c r="I3" i="1"/>
  <c r="I4" i="1"/>
  <c r="I5" i="1"/>
  <c r="I6" i="1"/>
  <c r="I7" i="1"/>
  <c r="I8" i="1"/>
  <c r="I9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</calcChain>
</file>

<file path=xl/sharedStrings.xml><?xml version="1.0" encoding="utf-8"?>
<sst xmlns="http://schemas.openxmlformats.org/spreadsheetml/2006/main" count="278" uniqueCount="70">
  <si>
    <t xml:space="preserve">
</t>
  </si>
  <si>
    <t xml:space="preserve">Status </t>
  </si>
  <si>
    <t>Username</t>
  </si>
  <si>
    <t>Source IP</t>
  </si>
  <si>
    <t>failure</t>
  </si>
  <si>
    <t>success</t>
  </si>
  <si>
    <t>Grand Total</t>
  </si>
  <si>
    <t>adavis</t>
  </si>
  <si>
    <t>192.168.1.55</t>
  </si>
  <si>
    <t>adavis Total</t>
  </si>
  <si>
    <t>asmith</t>
  </si>
  <si>
    <t>203.0.113.5</t>
  </si>
  <si>
    <t>asmith Total</t>
  </si>
  <si>
    <t>btaylor</t>
  </si>
  <si>
    <t>45.33.32.156</t>
  </si>
  <si>
    <t>btaylor Total</t>
  </si>
  <si>
    <t>csanchez</t>
  </si>
  <si>
    <t>203.0.113.88</t>
  </si>
  <si>
    <t>csanchez Total</t>
  </si>
  <si>
    <t>djohnson</t>
  </si>
  <si>
    <t>192.168.1.80</t>
  </si>
  <si>
    <t>djohnson Total</t>
  </si>
  <si>
    <t>ewilson</t>
  </si>
  <si>
    <t>198.51.100.42</t>
  </si>
  <si>
    <t>ewilson Total</t>
  </si>
  <si>
    <t>jdoe</t>
  </si>
  <si>
    <t>192.168.1.50</t>
  </si>
  <si>
    <t>jdoe Total</t>
  </si>
  <si>
    <t>kmiller</t>
  </si>
  <si>
    <t>192.168.1.70</t>
  </si>
  <si>
    <t>kmiller Total</t>
  </si>
  <si>
    <t>ljames</t>
  </si>
  <si>
    <t>198.51.100.10</t>
  </si>
  <si>
    <t>ljames Total</t>
  </si>
  <si>
    <t>rlee</t>
  </si>
  <si>
    <t>192.168.1.60</t>
  </si>
  <si>
    <t>rlee Total</t>
  </si>
  <si>
    <t>Time Stamp</t>
  </si>
  <si>
    <t>User Id</t>
  </si>
  <si>
    <t>Application</t>
  </si>
  <si>
    <t>Action</t>
  </si>
  <si>
    <t>Details</t>
  </si>
  <si>
    <t>Failed login count</t>
  </si>
  <si>
    <t>U101</t>
  </si>
  <si>
    <t>VPN</t>
  </si>
  <si>
    <t>Login</t>
  </si>
  <si>
    <t>mfa_verified</t>
  </si>
  <si>
    <t>Email</t>
  </si>
  <si>
    <t>Logout</t>
  </si>
  <si>
    <t>null</t>
  </si>
  <si>
    <t>U104</t>
  </si>
  <si>
    <t>Portal</t>
  </si>
  <si>
    <t>session_start</t>
  </si>
  <si>
    <t>U102</t>
  </si>
  <si>
    <t>SSH</t>
  </si>
  <si>
    <t>invailid_password</t>
  </si>
  <si>
    <t>U103</t>
  </si>
  <si>
    <t>mfa_timeout</t>
  </si>
  <si>
    <t>invalid_password</t>
  </si>
  <si>
    <t>account_locked</t>
  </si>
  <si>
    <t>session_end</t>
  </si>
  <si>
    <t>U105</t>
  </si>
  <si>
    <t>U106</t>
  </si>
  <si>
    <t>suspicious_ip</t>
  </si>
  <si>
    <t>U107</t>
  </si>
  <si>
    <t>view_records</t>
  </si>
  <si>
    <t>U108</t>
  </si>
  <si>
    <t>U109</t>
  </si>
  <si>
    <t>U110</t>
  </si>
  <si>
    <t>bruteforce_detected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</si>
</sst>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14" fontId="2" fillId="0" borderId="0" xfId="0" applyNumberFormat="1" applyFont="1"/>
    <xf numFmtId="0" fontId="2" fillId="0" borderId="0" xfId="0" applyFont="1"/>
    <xf numFmtId="14" fontId="2" fillId="0" borderId="0" xfId="0" applyNumberFormat="1" applyFont="1" applyAlignment="1">
      <alignment wrapText="1"/>
    </xf>
  </cellXfs>
  <cellStyles count="1">
    <cellStyle name="Normal" xfId="0" builtinId="0"/>
  </cellStyles>
  <dxfs count="12">
    <dxf>
      <font>
        <b/>
        <name val="Calibri"/>
        <scheme val="minor"/>
      </font>
      <numFmt numFmtId="0" formatCode="General"/>
    </dxf>
    <dxf>
      <font>
        <b/>
        <name val="Calibri"/>
        <scheme val="minor"/>
      </font>
    </dxf>
    <dxf>
      <font>
        <b/>
        <name val="Calibri"/>
        <scheme val="minor"/>
      </font>
    </dxf>
    <dxf>
      <font>
        <b/>
        <name val="Calibri"/>
        <scheme val="minor"/>
      </font>
    </dxf>
    <dxf>
      <font>
        <b/>
        <name val="Calibri"/>
        <scheme val="minor"/>
      </font>
    </dxf>
    <dxf>
      <font>
        <b/>
        <name val="Calibri"/>
        <scheme val="minor"/>
      </font>
    </dxf>
    <dxf>
      <font>
        <b/>
        <name val="Calibri"/>
        <scheme val="minor"/>
      </font>
    </dxf>
    <dxf>
      <font>
        <b/>
        <name val="Calibri"/>
        <scheme val="minor"/>
      </font>
    </dxf>
    <dxf>
      <font>
        <b/>
        <name val="Calibri"/>
        <scheme val="minor"/>
      </font>
      <numFmt numFmtId="19" formatCode="m/d/yyyy"/>
    </dxf>
    <dxf>
      <numFmt numFmtId="19" formatCode="m/d/yyyy"/>
    </dxf>
    <dxf>
      <font>
        <b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0.574352777781" createdVersion="8" refreshedVersion="8" minRefreshableVersion="3" recordCount="33" xr:uid="{4BDA28DC-DA26-4A81-A416-D1A2F2F8AE77}">
  <cacheSource type="worksheet">
    <worksheetSource name="Table1"/>
  </cacheSource>
  <cacheFields count="8">
    <cacheField name="Time Stamp" numFmtId="14">
      <sharedItems containsSemiMixedTypes="0" containsNonDate="0" containsDate="1" containsString="0" minDate="2023-10-27T00:00:00" maxDate="2023-10-28T00:00:00" count="1">
        <d v="2023-10-27T00:00:00"/>
      </sharedItems>
    </cacheField>
    <cacheField name="User Id" numFmtId="0">
      <sharedItems count="10">
        <s v="U101"/>
        <s v="U104"/>
        <s v="U102"/>
        <s v="U103"/>
        <s v="U105"/>
        <s v="U106"/>
        <s v="U107"/>
        <s v="U108"/>
        <s v="U109"/>
        <s v="U110"/>
      </sharedItems>
    </cacheField>
    <cacheField name="Username" numFmtId="0">
      <sharedItems count="10">
        <s v="jdoe"/>
        <s v="adavis"/>
        <s v="asmith"/>
        <s v="ljames"/>
        <s v="rlee"/>
        <s v="btaylor"/>
        <s v="kmiller"/>
        <s v="csanchez"/>
        <s v="djohnson"/>
        <s v="ewilson"/>
      </sharedItems>
    </cacheField>
    <cacheField name="Source IP" numFmtId="0">
      <sharedItems count="10">
        <s v="192.168.1.50"/>
        <s v="192.168.1.55"/>
        <s v="203.0.113.5"/>
        <s v="198.51.100.10"/>
        <s v="192.168.1.60"/>
        <s v="45.33.32.156"/>
        <s v="192.168.1.70"/>
        <s v="203.0.113.88"/>
        <s v="192.168.1.80"/>
        <s v="198.51.100.42"/>
      </sharedItems>
    </cacheField>
    <cacheField name="Application" numFmtId="0">
      <sharedItems/>
    </cacheField>
    <cacheField name="Action" numFmtId="0">
      <sharedItems count="3">
        <s v="Login"/>
        <s v="Logout"/>
        <s v="Action"/>
      </sharedItems>
    </cacheField>
    <cacheField name="Status " numFmtId="0">
      <sharedItems count="2">
        <s v="success"/>
        <s v="failure"/>
      </sharedItems>
    </cacheField>
    <cacheField name="Details" numFmtId="0">
      <sharedItems count="11">
        <s v="mfa_verified"/>
        <s v="null"/>
        <s v="session_start"/>
        <s v="invailid_password"/>
        <s v="mfa_timeout"/>
        <s v="invalid_password"/>
        <s v="account_locked"/>
        <s v="session_end"/>
        <s v="suspicious_ip"/>
        <s v="view_records"/>
        <s v="bruteforce_detect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x v="0"/>
    <x v="0"/>
    <x v="0"/>
    <s v="VPN"/>
    <x v="0"/>
    <x v="0"/>
    <x v="0"/>
  </r>
  <r>
    <x v="0"/>
    <x v="0"/>
    <x v="0"/>
    <x v="0"/>
    <s v="Email"/>
    <x v="1"/>
    <x v="0"/>
    <x v="1"/>
  </r>
  <r>
    <x v="0"/>
    <x v="1"/>
    <x v="1"/>
    <x v="1"/>
    <s v="Portal"/>
    <x v="0"/>
    <x v="0"/>
    <x v="2"/>
  </r>
  <r>
    <x v="0"/>
    <x v="2"/>
    <x v="2"/>
    <x v="2"/>
    <s v="SSH"/>
    <x v="0"/>
    <x v="1"/>
    <x v="3"/>
  </r>
  <r>
    <x v="0"/>
    <x v="3"/>
    <x v="3"/>
    <x v="3"/>
    <s v="VPN"/>
    <x v="0"/>
    <x v="1"/>
    <x v="4"/>
  </r>
  <r>
    <x v="0"/>
    <x v="2"/>
    <x v="2"/>
    <x v="2"/>
    <s v="SSH"/>
    <x v="0"/>
    <x v="1"/>
    <x v="5"/>
  </r>
  <r>
    <x v="0"/>
    <x v="2"/>
    <x v="2"/>
    <x v="2"/>
    <s v="SSH"/>
    <x v="0"/>
    <x v="1"/>
    <x v="5"/>
  </r>
  <r>
    <x v="0"/>
    <x v="2"/>
    <x v="2"/>
    <x v="2"/>
    <s v="SSH"/>
    <x v="0"/>
    <x v="1"/>
    <x v="5"/>
  </r>
  <r>
    <x v="0"/>
    <x v="2"/>
    <x v="2"/>
    <x v="2"/>
    <s v="SSH"/>
    <x v="0"/>
    <x v="1"/>
    <x v="6"/>
  </r>
  <r>
    <x v="0"/>
    <x v="0"/>
    <x v="0"/>
    <x v="0"/>
    <s v="VPN"/>
    <x v="0"/>
    <x v="0"/>
    <x v="0"/>
  </r>
  <r>
    <x v="0"/>
    <x v="0"/>
    <x v="0"/>
    <x v="0"/>
    <s v="Email"/>
    <x v="0"/>
    <x v="0"/>
    <x v="1"/>
  </r>
  <r>
    <x v="0"/>
    <x v="0"/>
    <x v="0"/>
    <x v="0"/>
    <s v="Email"/>
    <x v="1"/>
    <x v="0"/>
    <x v="1"/>
  </r>
  <r>
    <x v="0"/>
    <x v="3"/>
    <x v="3"/>
    <x v="3"/>
    <s v="VPN"/>
    <x v="0"/>
    <x v="1"/>
    <x v="4"/>
  </r>
  <r>
    <x v="0"/>
    <x v="3"/>
    <x v="3"/>
    <x v="3"/>
    <s v="VPN"/>
    <x v="0"/>
    <x v="1"/>
    <x v="4"/>
  </r>
  <r>
    <x v="0"/>
    <x v="3"/>
    <x v="3"/>
    <x v="3"/>
    <s v="VPN"/>
    <x v="0"/>
    <x v="0"/>
    <x v="0"/>
  </r>
  <r>
    <x v="0"/>
    <x v="1"/>
    <x v="1"/>
    <x v="1"/>
    <s v="Portal"/>
    <x v="0"/>
    <x v="0"/>
    <x v="2"/>
  </r>
  <r>
    <x v="0"/>
    <x v="1"/>
    <x v="1"/>
    <x v="1"/>
    <s v="Portal"/>
    <x v="1"/>
    <x v="0"/>
    <x v="7"/>
  </r>
  <r>
    <x v="0"/>
    <x v="4"/>
    <x v="4"/>
    <x v="4"/>
    <s v="VPN"/>
    <x v="0"/>
    <x v="0"/>
    <x v="0"/>
  </r>
  <r>
    <x v="0"/>
    <x v="4"/>
    <x v="4"/>
    <x v="4"/>
    <s v="VPN"/>
    <x v="1"/>
    <x v="0"/>
    <x v="1"/>
  </r>
  <r>
    <x v="0"/>
    <x v="5"/>
    <x v="5"/>
    <x v="5"/>
    <s v="Email"/>
    <x v="0"/>
    <x v="1"/>
    <x v="5"/>
  </r>
  <r>
    <x v="0"/>
    <x v="5"/>
    <x v="5"/>
    <x v="5"/>
    <s v="Email"/>
    <x v="0"/>
    <x v="1"/>
    <x v="5"/>
  </r>
  <r>
    <x v="0"/>
    <x v="5"/>
    <x v="5"/>
    <x v="5"/>
    <s v="Email"/>
    <x v="0"/>
    <x v="1"/>
    <x v="8"/>
  </r>
  <r>
    <x v="0"/>
    <x v="6"/>
    <x v="6"/>
    <x v="6"/>
    <s v="Portal"/>
    <x v="0"/>
    <x v="0"/>
    <x v="2"/>
  </r>
  <r>
    <x v="0"/>
    <x v="6"/>
    <x v="6"/>
    <x v="6"/>
    <s v="Portal"/>
    <x v="2"/>
    <x v="0"/>
    <x v="9"/>
  </r>
  <r>
    <x v="0"/>
    <x v="6"/>
    <x v="6"/>
    <x v="6"/>
    <s v="Portal"/>
    <x v="1"/>
    <x v="0"/>
    <x v="7"/>
  </r>
  <r>
    <x v="0"/>
    <x v="7"/>
    <x v="7"/>
    <x v="7"/>
    <s v="VPN"/>
    <x v="0"/>
    <x v="1"/>
    <x v="4"/>
  </r>
  <r>
    <x v="0"/>
    <x v="7"/>
    <x v="7"/>
    <x v="7"/>
    <s v="VPN"/>
    <x v="0"/>
    <x v="1"/>
    <x v="4"/>
  </r>
  <r>
    <x v="0"/>
    <x v="7"/>
    <x v="7"/>
    <x v="7"/>
    <s v="VPN"/>
    <x v="0"/>
    <x v="1"/>
    <x v="6"/>
  </r>
  <r>
    <x v="0"/>
    <x v="8"/>
    <x v="8"/>
    <x v="8"/>
    <s v="Email"/>
    <x v="0"/>
    <x v="0"/>
    <x v="1"/>
  </r>
  <r>
    <x v="0"/>
    <x v="8"/>
    <x v="8"/>
    <x v="8"/>
    <s v="Email"/>
    <x v="1"/>
    <x v="0"/>
    <x v="1"/>
  </r>
  <r>
    <x v="0"/>
    <x v="9"/>
    <x v="9"/>
    <x v="9"/>
    <s v="SSH"/>
    <x v="0"/>
    <x v="1"/>
    <x v="5"/>
  </r>
  <r>
    <x v="0"/>
    <x v="9"/>
    <x v="9"/>
    <x v="9"/>
    <s v="SSH"/>
    <x v="0"/>
    <x v="1"/>
    <x v="5"/>
  </r>
  <r>
    <x v="0"/>
    <x v="9"/>
    <x v="9"/>
    <x v="9"/>
    <s v="SSH"/>
    <x v="0"/>
    <x v="1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1EF8E-D52B-4C47-A04B-E6929C45C21B}" name="PivotTable1" cacheId="105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E24" firstHeaderRow="1" firstDataRow="2" firstDataCol="2"/>
  <pivotFields count="8">
    <pivotField compact="0" numFmtId="14" outline="0" showAll="0">
      <items count="2">
        <item x="0"/>
        <item t="default"/>
      </items>
    </pivotField>
    <pivotField compact="0" outline="0" showAll="0"/>
    <pivotField axis="axisRow" compact="0" outline="0" showAll="0">
      <items count="11">
        <item x="1"/>
        <item x="2"/>
        <item x="5"/>
        <item x="7"/>
        <item x="8"/>
        <item x="9"/>
        <item x="0"/>
        <item x="6"/>
        <item x="3"/>
        <item x="4"/>
        <item t="default"/>
      </items>
    </pivotField>
    <pivotField axis="axisRow" compact="0" outline="0" showAll="0">
      <items count="11">
        <item x="0"/>
        <item x="1"/>
        <item x="4"/>
        <item x="6"/>
        <item x="8"/>
        <item x="3"/>
        <item x="9"/>
        <item x="2"/>
        <item x="7"/>
        <item x="5"/>
        <item t="default"/>
      </items>
    </pivotField>
    <pivotField compact="0" outline="0" showAll="0"/>
    <pivotField compact="0" outline="0" showAll="0">
      <items count="4">
        <item x="2"/>
        <item x="0"/>
        <item x="1"/>
        <item t="default"/>
      </items>
    </pivotField>
    <pivotField axis="axisCol" compact="0" outline="0" showAll="0">
      <items count="3">
        <item x="1"/>
        <item x="0"/>
        <item t="default"/>
      </items>
    </pivotField>
    <pivotField dataField="1" compact="0" outline="0" showAll="0"/>
  </pivotFields>
  <rowFields count="2">
    <field x="2"/>
    <field x="3"/>
  </rowFields>
  <rowItems count="21">
    <i>
      <x/>
      <x v="1"/>
    </i>
    <i t="default">
      <x/>
    </i>
    <i>
      <x v="1"/>
      <x v="7"/>
    </i>
    <i t="default">
      <x v="1"/>
    </i>
    <i>
      <x v="2"/>
      <x v="9"/>
    </i>
    <i t="default">
      <x v="2"/>
    </i>
    <i>
      <x v="3"/>
      <x v="8"/>
    </i>
    <i t="default">
      <x v="3"/>
    </i>
    <i>
      <x v="4"/>
      <x v="4"/>
    </i>
    <i t="default">
      <x v="4"/>
    </i>
    <i>
      <x v="5"/>
      <x v="6"/>
    </i>
    <i t="default">
      <x v="5"/>
    </i>
    <i>
      <x v="6"/>
      <x/>
    </i>
    <i t="default">
      <x v="6"/>
    </i>
    <i>
      <x v="7"/>
      <x v="3"/>
    </i>
    <i t="default">
      <x v="7"/>
    </i>
    <i>
      <x v="8"/>
      <x v="5"/>
    </i>
    <i t="default">
      <x v="8"/>
    </i>
    <i>
      <x v="9"/>
      <x v="2"/>
    </i>
    <i t="default">
      <x v="9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_x000a_" fld="7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E71458-7A6F-4321-BC99-ED1554C56A35}" name="Table1" displayName="Table1" ref="A1:I35" totalsRowCount="1" headerRowDxfId="11" dataDxfId="10">
  <autoFilter ref="A1:I34" xr:uid="{A7E71458-7A6F-4321-BC99-ED1554C56A35}"/>
  <tableColumns count="9">
    <tableColumn id="1" xr3:uid="{C39188EB-43B3-4B31-B7B9-06B6F156C1C0}" name="Time Stamp" dataDxfId="8" totalsRowDxfId="9"/>
    <tableColumn id="2" xr3:uid="{16D84C6B-0A94-454B-B775-9DFF8FAD319E}" name="User Id" dataDxfId="7"/>
    <tableColumn id="3" xr3:uid="{F27F1199-FB95-4751-8E9C-436553E99196}" name="Username" dataDxfId="6"/>
    <tableColumn id="4" xr3:uid="{06E0D195-FA73-423C-9A7B-DDF36DD14A1C}" name="Source IP" dataDxfId="5"/>
    <tableColumn id="5" xr3:uid="{959C551B-9943-4FBF-98E9-0F30F869D809}" name="Application" dataDxfId="4"/>
    <tableColumn id="6" xr3:uid="{4BBE7FF8-2B42-4258-96C4-F7F8A22BBA4E}" name="Action" dataDxfId="3"/>
    <tableColumn id="7" xr3:uid="{EDBC0156-4817-4A45-B73F-ECAF94AC145D}" name="Status " dataDxfId="2"/>
    <tableColumn id="8" xr3:uid="{539ED82D-1204-486A-B5F1-722B52C57E0B}" name="Details" dataDxfId="1"/>
    <tableColumn id="9" xr3:uid="{11641ADA-43D3-4995-826A-2259CCE76974}" name="Failed login count" dataDxfId="0">
      <calculatedColumnFormula>COUNTIFS($C:$C,C2,$G:$G,"failure")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3340-9500-4F55-97C6-4DBA39639AAD}">
  <dimension ref="A2:E24"/>
  <sheetViews>
    <sheetView workbookViewId="0">
      <selection activeCell="F5" sqref="F5"/>
    </sheetView>
  </sheetViews>
  <sheetFormatPr defaultRowHeight="15"/>
  <cols>
    <col min="1" max="1" width="15.140625" bestFit="1" customWidth="1"/>
    <col min="2" max="2" width="13.28515625" bestFit="1" customWidth="1"/>
    <col min="3" max="3" width="10" bestFit="1" customWidth="1"/>
    <col min="4" max="4" width="7.42578125" bestFit="1" customWidth="1"/>
    <col min="5" max="6" width="11.42578125" bestFit="1" customWidth="1"/>
    <col min="7" max="7" width="4.7109375" bestFit="1" customWidth="1"/>
    <col min="8" max="8" width="7" bestFit="1" customWidth="1"/>
    <col min="9" max="9" width="6.7109375" bestFit="1" customWidth="1"/>
    <col min="10" max="10" width="4.28515625" bestFit="1" customWidth="1"/>
    <col min="11" max="11" width="11.42578125" bestFit="1" customWidth="1"/>
  </cols>
  <sheetData>
    <row r="2" spans="1:5">
      <c r="A2" s="3" t="s">
        <v>0</v>
      </c>
      <c r="C2" s="3" t="s">
        <v>1</v>
      </c>
    </row>
    <row r="3" spans="1:5">
      <c r="A3" s="3" t="s">
        <v>2</v>
      </c>
      <c r="B3" s="3" t="s">
        <v>3</v>
      </c>
      <c r="C3" t="s">
        <v>4</v>
      </c>
      <c r="D3" t="s">
        <v>5</v>
      </c>
      <c r="E3" t="s">
        <v>6</v>
      </c>
    </row>
    <row r="4" spans="1:5">
      <c r="A4" t="s">
        <v>7</v>
      </c>
      <c r="B4" t="s">
        <v>8</v>
      </c>
      <c r="C4" s="4"/>
      <c r="D4" s="4">
        <v>3</v>
      </c>
      <c r="E4" s="4">
        <v>3</v>
      </c>
    </row>
    <row r="5" spans="1:5">
      <c r="A5" t="s">
        <v>9</v>
      </c>
      <c r="C5" s="4"/>
      <c r="D5" s="4">
        <v>3</v>
      </c>
      <c r="E5" s="4">
        <v>3</v>
      </c>
    </row>
    <row r="6" spans="1:5">
      <c r="A6" t="s">
        <v>10</v>
      </c>
      <c r="B6" t="s">
        <v>11</v>
      </c>
      <c r="C6" s="4">
        <v>5</v>
      </c>
      <c r="D6" s="4"/>
      <c r="E6" s="4">
        <v>5</v>
      </c>
    </row>
    <row r="7" spans="1:5">
      <c r="A7" t="s">
        <v>12</v>
      </c>
      <c r="C7" s="4">
        <v>5</v>
      </c>
      <c r="D7" s="4"/>
      <c r="E7" s="4">
        <v>5</v>
      </c>
    </row>
    <row r="8" spans="1:5">
      <c r="A8" t="s">
        <v>13</v>
      </c>
      <c r="B8" t="s">
        <v>14</v>
      </c>
      <c r="C8" s="4">
        <v>3</v>
      </c>
      <c r="D8" s="4"/>
      <c r="E8" s="4">
        <v>3</v>
      </c>
    </row>
    <row r="9" spans="1:5">
      <c r="A9" t="s">
        <v>15</v>
      </c>
      <c r="C9" s="4">
        <v>3</v>
      </c>
      <c r="D9" s="4"/>
      <c r="E9" s="4">
        <v>3</v>
      </c>
    </row>
    <row r="10" spans="1:5">
      <c r="A10" t="s">
        <v>16</v>
      </c>
      <c r="B10" t="s">
        <v>17</v>
      </c>
      <c r="C10" s="4">
        <v>3</v>
      </c>
      <c r="D10" s="4"/>
      <c r="E10" s="4">
        <v>3</v>
      </c>
    </row>
    <row r="11" spans="1:5">
      <c r="A11" t="s">
        <v>18</v>
      </c>
      <c r="C11" s="4">
        <v>3</v>
      </c>
      <c r="D11" s="4"/>
      <c r="E11" s="4">
        <v>3</v>
      </c>
    </row>
    <row r="12" spans="1:5">
      <c r="A12" t="s">
        <v>19</v>
      </c>
      <c r="B12" t="s">
        <v>20</v>
      </c>
      <c r="C12" s="4"/>
      <c r="D12" s="4">
        <v>2</v>
      </c>
      <c r="E12" s="4">
        <v>2</v>
      </c>
    </row>
    <row r="13" spans="1:5">
      <c r="A13" t="s">
        <v>21</v>
      </c>
      <c r="C13" s="4"/>
      <c r="D13" s="4">
        <v>2</v>
      </c>
      <c r="E13" s="4">
        <v>2</v>
      </c>
    </row>
    <row r="14" spans="1:5">
      <c r="A14" t="s">
        <v>22</v>
      </c>
      <c r="B14" t="s">
        <v>23</v>
      </c>
      <c r="C14" s="4">
        <v>3</v>
      </c>
      <c r="D14" s="4"/>
      <c r="E14" s="4">
        <v>3</v>
      </c>
    </row>
    <row r="15" spans="1:5">
      <c r="A15" t="s">
        <v>24</v>
      </c>
      <c r="C15" s="4">
        <v>3</v>
      </c>
      <c r="D15" s="4"/>
      <c r="E15" s="4">
        <v>3</v>
      </c>
    </row>
    <row r="16" spans="1:5">
      <c r="A16" t="s">
        <v>25</v>
      </c>
      <c r="B16" t="s">
        <v>26</v>
      </c>
      <c r="C16" s="4"/>
      <c r="D16" s="4">
        <v>5</v>
      </c>
      <c r="E16" s="4">
        <v>5</v>
      </c>
    </row>
    <row r="17" spans="1:5">
      <c r="A17" t="s">
        <v>27</v>
      </c>
      <c r="C17" s="4"/>
      <c r="D17" s="4">
        <v>5</v>
      </c>
      <c r="E17" s="4">
        <v>5</v>
      </c>
    </row>
    <row r="18" spans="1:5">
      <c r="A18" t="s">
        <v>28</v>
      </c>
      <c r="B18" t="s">
        <v>29</v>
      </c>
      <c r="C18" s="4"/>
      <c r="D18" s="4">
        <v>3</v>
      </c>
      <c r="E18" s="4">
        <v>3</v>
      </c>
    </row>
    <row r="19" spans="1:5">
      <c r="A19" t="s">
        <v>30</v>
      </c>
      <c r="C19" s="4"/>
      <c r="D19" s="4">
        <v>3</v>
      </c>
      <c r="E19" s="4">
        <v>3</v>
      </c>
    </row>
    <row r="20" spans="1:5">
      <c r="A20" t="s">
        <v>31</v>
      </c>
      <c r="B20" t="s">
        <v>32</v>
      </c>
      <c r="C20" s="4">
        <v>3</v>
      </c>
      <c r="D20" s="4">
        <v>1</v>
      </c>
      <c r="E20" s="4">
        <v>4</v>
      </c>
    </row>
    <row r="21" spans="1:5">
      <c r="A21" t="s">
        <v>33</v>
      </c>
      <c r="C21" s="4">
        <v>3</v>
      </c>
      <c r="D21" s="4">
        <v>1</v>
      </c>
      <c r="E21" s="4">
        <v>4</v>
      </c>
    </row>
    <row r="22" spans="1:5">
      <c r="A22" t="s">
        <v>34</v>
      </c>
      <c r="B22" t="s">
        <v>35</v>
      </c>
      <c r="C22" s="4"/>
      <c r="D22" s="4">
        <v>2</v>
      </c>
      <c r="E22" s="4">
        <v>2</v>
      </c>
    </row>
    <row r="23" spans="1:5">
      <c r="A23" t="s">
        <v>36</v>
      </c>
      <c r="C23" s="4"/>
      <c r="D23" s="4">
        <v>2</v>
      </c>
      <c r="E23" s="4">
        <v>2</v>
      </c>
    </row>
    <row r="24" spans="1:5">
      <c r="A24" t="s">
        <v>6</v>
      </c>
      <c r="C24" s="4">
        <v>17</v>
      </c>
      <c r="D24" s="4">
        <v>16</v>
      </c>
      <c r="E24" s="4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pane ySplit="1" topLeftCell="A2" activePane="bottomLeft" state="frozen"/>
      <selection pane="bottomLeft" activeCell="C32" sqref="C32"/>
    </sheetView>
  </sheetViews>
  <sheetFormatPr defaultRowHeight="15"/>
  <cols>
    <col min="1" max="1" width="36.5703125" bestFit="1" customWidth="1"/>
    <col min="2" max="2" width="11.42578125" bestFit="1" customWidth="1"/>
    <col min="3" max="3" width="15" bestFit="1" customWidth="1"/>
    <col min="4" max="4" width="13.85546875" bestFit="1" customWidth="1"/>
    <col min="5" max="5" width="16.28515625" bestFit="1" customWidth="1"/>
    <col min="6" max="6" width="10.7109375" bestFit="1" customWidth="1"/>
    <col min="7" max="7" width="11.140625" bestFit="1" customWidth="1"/>
    <col min="8" max="8" width="33.140625" bestFit="1" customWidth="1"/>
    <col min="9" max="9" width="23.42578125" bestFit="1" customWidth="1"/>
  </cols>
  <sheetData>
    <row r="1" spans="1:9" ht="18.75">
      <c r="A1" s="1" t="s">
        <v>37</v>
      </c>
      <c r="B1" s="1" t="s">
        <v>38</v>
      </c>
      <c r="C1" s="1" t="s">
        <v>2</v>
      </c>
      <c r="D1" s="1" t="s">
        <v>3</v>
      </c>
      <c r="E1" s="1" t="s">
        <v>39</v>
      </c>
      <c r="F1" s="1" t="s">
        <v>40</v>
      </c>
      <c r="G1" s="1" t="s">
        <v>1</v>
      </c>
      <c r="H1" s="1" t="s">
        <v>41</v>
      </c>
      <c r="I1" s="1" t="s">
        <v>42</v>
      </c>
    </row>
    <row r="2" spans="1:9" s="6" customFormat="1">
      <c r="A2" s="5">
        <v>45226</v>
      </c>
      <c r="B2" s="6" t="s">
        <v>43</v>
      </c>
      <c r="C2" s="6" t="s">
        <v>25</v>
      </c>
      <c r="D2" s="6" t="s">
        <v>26</v>
      </c>
      <c r="E2" s="6" t="s">
        <v>44</v>
      </c>
      <c r="F2" s="6" t="s">
        <v>45</v>
      </c>
      <c r="G2" s="6" t="s">
        <v>5</v>
      </c>
      <c r="H2" s="6" t="s">
        <v>46</v>
      </c>
      <c r="I2" s="6">
        <f t="shared" ref="I2:I34" si="0">COUNTIFS($C:$C,C2,$G:$G,"failure")</f>
        <v>0</v>
      </c>
    </row>
    <row r="3" spans="1:9" s="6" customFormat="1">
      <c r="A3" s="5">
        <v>45226</v>
      </c>
      <c r="B3" s="6" t="s">
        <v>43</v>
      </c>
      <c r="C3" s="6" t="s">
        <v>25</v>
      </c>
      <c r="D3" s="6" t="s">
        <v>26</v>
      </c>
      <c r="E3" s="6" t="s">
        <v>47</v>
      </c>
      <c r="F3" s="6" t="s">
        <v>48</v>
      </c>
      <c r="G3" s="6" t="s">
        <v>5</v>
      </c>
      <c r="H3" s="6" t="s">
        <v>49</v>
      </c>
      <c r="I3" s="6">
        <f t="shared" si="0"/>
        <v>0</v>
      </c>
    </row>
    <row r="4" spans="1:9" s="6" customFormat="1">
      <c r="A4" s="5">
        <v>45226</v>
      </c>
      <c r="B4" s="6" t="s">
        <v>50</v>
      </c>
      <c r="C4" s="6" t="s">
        <v>7</v>
      </c>
      <c r="D4" s="6" t="s">
        <v>8</v>
      </c>
      <c r="E4" s="6" t="s">
        <v>51</v>
      </c>
      <c r="F4" s="6" t="s">
        <v>45</v>
      </c>
      <c r="G4" s="6" t="s">
        <v>5</v>
      </c>
      <c r="H4" s="6" t="s">
        <v>52</v>
      </c>
      <c r="I4" s="6">
        <f t="shared" si="0"/>
        <v>0</v>
      </c>
    </row>
    <row r="5" spans="1:9" s="6" customFormat="1">
      <c r="A5" s="5">
        <v>45226</v>
      </c>
      <c r="B5" s="6" t="s">
        <v>53</v>
      </c>
      <c r="C5" s="6" t="s">
        <v>10</v>
      </c>
      <c r="D5" s="6" t="s">
        <v>11</v>
      </c>
      <c r="E5" s="6" t="s">
        <v>54</v>
      </c>
      <c r="F5" s="6" t="s">
        <v>45</v>
      </c>
      <c r="G5" s="6" t="s">
        <v>4</v>
      </c>
      <c r="H5" s="6" t="s">
        <v>55</v>
      </c>
      <c r="I5" s="6">
        <f t="shared" si="0"/>
        <v>5</v>
      </c>
    </row>
    <row r="6" spans="1:9" s="6" customFormat="1">
      <c r="A6" s="5">
        <v>45226</v>
      </c>
      <c r="B6" s="6" t="s">
        <v>56</v>
      </c>
      <c r="C6" s="6" t="s">
        <v>31</v>
      </c>
      <c r="D6" s="6" t="s">
        <v>32</v>
      </c>
      <c r="E6" s="6" t="s">
        <v>44</v>
      </c>
      <c r="F6" s="6" t="s">
        <v>45</v>
      </c>
      <c r="G6" s="6" t="s">
        <v>4</v>
      </c>
      <c r="H6" s="6" t="s">
        <v>57</v>
      </c>
      <c r="I6" s="6">
        <f t="shared" si="0"/>
        <v>3</v>
      </c>
    </row>
    <row r="7" spans="1:9" s="6" customFormat="1">
      <c r="A7" s="7">
        <v>45226</v>
      </c>
      <c r="B7" s="6" t="s">
        <v>53</v>
      </c>
      <c r="C7" s="6" t="s">
        <v>10</v>
      </c>
      <c r="D7" s="6" t="s">
        <v>11</v>
      </c>
      <c r="E7" s="6" t="s">
        <v>54</v>
      </c>
      <c r="F7" s="6" t="s">
        <v>45</v>
      </c>
      <c r="G7" s="6" t="s">
        <v>4</v>
      </c>
      <c r="H7" s="6" t="s">
        <v>58</v>
      </c>
      <c r="I7" s="6">
        <f t="shared" si="0"/>
        <v>5</v>
      </c>
    </row>
    <row r="8" spans="1:9" s="6" customFormat="1">
      <c r="A8" s="7">
        <v>45226</v>
      </c>
      <c r="B8" s="6" t="s">
        <v>53</v>
      </c>
      <c r="C8" s="6" t="s">
        <v>10</v>
      </c>
      <c r="D8" s="6" t="s">
        <v>11</v>
      </c>
      <c r="E8" s="6" t="s">
        <v>54</v>
      </c>
      <c r="F8" s="6" t="s">
        <v>45</v>
      </c>
      <c r="G8" s="6" t="s">
        <v>4</v>
      </c>
      <c r="H8" s="6" t="s">
        <v>58</v>
      </c>
      <c r="I8" s="6">
        <f t="shared" si="0"/>
        <v>5</v>
      </c>
    </row>
    <row r="9" spans="1:9" s="6" customFormat="1">
      <c r="A9" s="7">
        <v>45226</v>
      </c>
      <c r="B9" s="6" t="s">
        <v>53</v>
      </c>
      <c r="C9" s="6" t="s">
        <v>10</v>
      </c>
      <c r="D9" s="6" t="s">
        <v>11</v>
      </c>
      <c r="E9" s="6" t="s">
        <v>54</v>
      </c>
      <c r="F9" s="6" t="s">
        <v>45</v>
      </c>
      <c r="G9" s="6" t="s">
        <v>4</v>
      </c>
      <c r="H9" s="6" t="s">
        <v>58</v>
      </c>
      <c r="I9" s="6">
        <f t="shared" si="0"/>
        <v>5</v>
      </c>
    </row>
    <row r="10" spans="1:9" s="6" customFormat="1">
      <c r="A10" s="7">
        <v>45226</v>
      </c>
      <c r="B10" s="6" t="s">
        <v>53</v>
      </c>
      <c r="C10" s="6" t="s">
        <v>10</v>
      </c>
      <c r="D10" s="6" t="s">
        <v>11</v>
      </c>
      <c r="E10" s="6" t="s">
        <v>54</v>
      </c>
      <c r="F10" s="6" t="s">
        <v>45</v>
      </c>
      <c r="G10" s="6" t="s">
        <v>4</v>
      </c>
      <c r="H10" s="6" t="s">
        <v>59</v>
      </c>
      <c r="I10" s="6">
        <f t="shared" si="0"/>
        <v>5</v>
      </c>
    </row>
    <row r="11" spans="1:9" s="6" customFormat="1">
      <c r="A11" s="7">
        <v>45226</v>
      </c>
      <c r="B11" s="6" t="s">
        <v>43</v>
      </c>
      <c r="C11" s="6" t="s">
        <v>25</v>
      </c>
      <c r="D11" s="6" t="s">
        <v>26</v>
      </c>
      <c r="E11" s="6" t="s">
        <v>44</v>
      </c>
      <c r="F11" s="6" t="s">
        <v>45</v>
      </c>
      <c r="G11" s="6" t="s">
        <v>5</v>
      </c>
      <c r="H11" s="6" t="s">
        <v>46</v>
      </c>
      <c r="I11" s="6">
        <f t="shared" si="0"/>
        <v>0</v>
      </c>
    </row>
    <row r="12" spans="1:9" s="6" customFormat="1">
      <c r="A12" s="7">
        <v>45226</v>
      </c>
      <c r="B12" s="6" t="s">
        <v>43</v>
      </c>
      <c r="C12" s="6" t="s">
        <v>25</v>
      </c>
      <c r="D12" s="6" t="s">
        <v>26</v>
      </c>
      <c r="E12" s="6" t="s">
        <v>47</v>
      </c>
      <c r="F12" s="6" t="s">
        <v>45</v>
      </c>
      <c r="G12" s="6" t="s">
        <v>5</v>
      </c>
      <c r="H12" s="6" t="s">
        <v>49</v>
      </c>
      <c r="I12" s="6">
        <f t="shared" si="0"/>
        <v>0</v>
      </c>
    </row>
    <row r="13" spans="1:9" s="6" customFormat="1">
      <c r="A13" s="7">
        <v>45226</v>
      </c>
      <c r="B13" s="6" t="s">
        <v>43</v>
      </c>
      <c r="C13" s="6" t="s">
        <v>25</v>
      </c>
      <c r="D13" s="6" t="s">
        <v>26</v>
      </c>
      <c r="E13" s="6" t="s">
        <v>47</v>
      </c>
      <c r="F13" s="6" t="s">
        <v>48</v>
      </c>
      <c r="G13" s="6" t="s">
        <v>5</v>
      </c>
      <c r="H13" s="6" t="s">
        <v>49</v>
      </c>
      <c r="I13" s="6">
        <f t="shared" si="0"/>
        <v>0</v>
      </c>
    </row>
    <row r="14" spans="1:9" s="6" customFormat="1">
      <c r="A14" s="7">
        <v>45226</v>
      </c>
      <c r="B14" s="6" t="s">
        <v>56</v>
      </c>
      <c r="C14" s="6" t="s">
        <v>31</v>
      </c>
      <c r="D14" s="6" t="s">
        <v>32</v>
      </c>
      <c r="E14" s="6" t="s">
        <v>44</v>
      </c>
      <c r="F14" s="6" t="s">
        <v>45</v>
      </c>
      <c r="G14" s="6" t="s">
        <v>4</v>
      </c>
      <c r="H14" s="6" t="s">
        <v>57</v>
      </c>
      <c r="I14" s="6">
        <f t="shared" si="0"/>
        <v>3</v>
      </c>
    </row>
    <row r="15" spans="1:9" s="6" customFormat="1">
      <c r="A15" s="7">
        <v>45226</v>
      </c>
      <c r="B15" s="6" t="s">
        <v>56</v>
      </c>
      <c r="C15" s="6" t="s">
        <v>31</v>
      </c>
      <c r="D15" s="6" t="s">
        <v>32</v>
      </c>
      <c r="E15" s="6" t="s">
        <v>44</v>
      </c>
      <c r="F15" s="6" t="s">
        <v>45</v>
      </c>
      <c r="G15" s="6" t="s">
        <v>4</v>
      </c>
      <c r="H15" s="6" t="s">
        <v>57</v>
      </c>
      <c r="I15" s="6">
        <f t="shared" si="0"/>
        <v>3</v>
      </c>
    </row>
    <row r="16" spans="1:9" s="6" customFormat="1">
      <c r="A16" s="7">
        <v>45226</v>
      </c>
      <c r="B16" s="6" t="s">
        <v>56</v>
      </c>
      <c r="C16" s="6" t="s">
        <v>31</v>
      </c>
      <c r="D16" s="6" t="s">
        <v>32</v>
      </c>
      <c r="E16" s="6" t="s">
        <v>44</v>
      </c>
      <c r="F16" s="6" t="s">
        <v>45</v>
      </c>
      <c r="G16" s="6" t="s">
        <v>5</v>
      </c>
      <c r="H16" s="6" t="s">
        <v>46</v>
      </c>
      <c r="I16" s="6">
        <f t="shared" si="0"/>
        <v>3</v>
      </c>
    </row>
    <row r="17" spans="1:9" s="6" customFormat="1">
      <c r="A17" s="7">
        <v>45226</v>
      </c>
      <c r="B17" s="6" t="s">
        <v>50</v>
      </c>
      <c r="C17" s="6" t="s">
        <v>7</v>
      </c>
      <c r="D17" s="6" t="s">
        <v>8</v>
      </c>
      <c r="E17" s="6" t="s">
        <v>51</v>
      </c>
      <c r="F17" s="6" t="s">
        <v>45</v>
      </c>
      <c r="G17" s="6" t="s">
        <v>5</v>
      </c>
      <c r="H17" s="6" t="s">
        <v>52</v>
      </c>
      <c r="I17" s="6">
        <f t="shared" si="0"/>
        <v>0</v>
      </c>
    </row>
    <row r="18" spans="1:9" s="6" customFormat="1">
      <c r="A18" s="7">
        <v>45226</v>
      </c>
      <c r="B18" s="6" t="s">
        <v>50</v>
      </c>
      <c r="C18" s="6" t="s">
        <v>7</v>
      </c>
      <c r="D18" s="6" t="s">
        <v>8</v>
      </c>
      <c r="E18" s="6" t="s">
        <v>51</v>
      </c>
      <c r="F18" s="6" t="s">
        <v>48</v>
      </c>
      <c r="G18" s="6" t="s">
        <v>5</v>
      </c>
      <c r="H18" s="6" t="s">
        <v>60</v>
      </c>
      <c r="I18" s="6">
        <f t="shared" si="0"/>
        <v>0</v>
      </c>
    </row>
    <row r="19" spans="1:9" s="6" customFormat="1">
      <c r="A19" s="7">
        <v>45226</v>
      </c>
      <c r="B19" s="6" t="s">
        <v>61</v>
      </c>
      <c r="C19" s="6" t="s">
        <v>34</v>
      </c>
      <c r="D19" s="6" t="s">
        <v>35</v>
      </c>
      <c r="E19" s="6" t="s">
        <v>44</v>
      </c>
      <c r="F19" s="6" t="s">
        <v>45</v>
      </c>
      <c r="G19" s="6" t="s">
        <v>5</v>
      </c>
      <c r="H19" s="6" t="s">
        <v>46</v>
      </c>
      <c r="I19" s="6">
        <f t="shared" si="0"/>
        <v>0</v>
      </c>
    </row>
    <row r="20" spans="1:9" s="6" customFormat="1">
      <c r="A20" s="7">
        <v>45226</v>
      </c>
      <c r="B20" s="6" t="s">
        <v>61</v>
      </c>
      <c r="C20" s="6" t="s">
        <v>34</v>
      </c>
      <c r="D20" s="6" t="s">
        <v>35</v>
      </c>
      <c r="E20" s="6" t="s">
        <v>44</v>
      </c>
      <c r="F20" s="6" t="s">
        <v>48</v>
      </c>
      <c r="G20" s="6" t="s">
        <v>5</v>
      </c>
      <c r="H20" s="6" t="s">
        <v>49</v>
      </c>
      <c r="I20" s="6">
        <f t="shared" si="0"/>
        <v>0</v>
      </c>
    </row>
    <row r="21" spans="1:9" s="6" customFormat="1">
      <c r="A21" s="7">
        <v>45226</v>
      </c>
      <c r="B21" s="6" t="s">
        <v>62</v>
      </c>
      <c r="C21" s="6" t="s">
        <v>13</v>
      </c>
      <c r="D21" s="6" t="s">
        <v>14</v>
      </c>
      <c r="E21" s="6" t="s">
        <v>47</v>
      </c>
      <c r="F21" s="6" t="s">
        <v>45</v>
      </c>
      <c r="G21" s="6" t="s">
        <v>4</v>
      </c>
      <c r="H21" s="6" t="s">
        <v>58</v>
      </c>
      <c r="I21" s="6">
        <f t="shared" si="0"/>
        <v>3</v>
      </c>
    </row>
    <row r="22" spans="1:9" s="6" customFormat="1">
      <c r="A22" s="7">
        <v>45226</v>
      </c>
      <c r="B22" s="6" t="s">
        <v>62</v>
      </c>
      <c r="C22" s="6" t="s">
        <v>13</v>
      </c>
      <c r="D22" s="6" t="s">
        <v>14</v>
      </c>
      <c r="E22" s="6" t="s">
        <v>47</v>
      </c>
      <c r="F22" s="6" t="s">
        <v>45</v>
      </c>
      <c r="G22" s="6" t="s">
        <v>4</v>
      </c>
      <c r="H22" s="6" t="s">
        <v>58</v>
      </c>
      <c r="I22" s="6">
        <f t="shared" si="0"/>
        <v>3</v>
      </c>
    </row>
    <row r="23" spans="1:9" s="6" customFormat="1">
      <c r="A23" s="7">
        <v>45226</v>
      </c>
      <c r="B23" s="6" t="s">
        <v>62</v>
      </c>
      <c r="C23" s="6" t="s">
        <v>13</v>
      </c>
      <c r="D23" s="6" t="s">
        <v>14</v>
      </c>
      <c r="E23" s="6" t="s">
        <v>47</v>
      </c>
      <c r="F23" s="6" t="s">
        <v>45</v>
      </c>
      <c r="G23" s="6" t="s">
        <v>4</v>
      </c>
      <c r="H23" s="6" t="s">
        <v>63</v>
      </c>
      <c r="I23" s="6">
        <f t="shared" si="0"/>
        <v>3</v>
      </c>
    </row>
    <row r="24" spans="1:9" s="6" customFormat="1">
      <c r="A24" s="7">
        <v>45226</v>
      </c>
      <c r="B24" s="6" t="s">
        <v>64</v>
      </c>
      <c r="C24" s="6" t="s">
        <v>28</v>
      </c>
      <c r="D24" s="6" t="s">
        <v>29</v>
      </c>
      <c r="E24" s="6" t="s">
        <v>51</v>
      </c>
      <c r="F24" s="6" t="s">
        <v>45</v>
      </c>
      <c r="G24" s="6" t="s">
        <v>5</v>
      </c>
      <c r="H24" s="6" t="s">
        <v>52</v>
      </c>
      <c r="I24" s="6">
        <f t="shared" si="0"/>
        <v>0</v>
      </c>
    </row>
    <row r="25" spans="1:9" s="6" customFormat="1">
      <c r="A25" s="7">
        <v>45226</v>
      </c>
      <c r="B25" s="6" t="s">
        <v>64</v>
      </c>
      <c r="C25" s="6" t="s">
        <v>28</v>
      </c>
      <c r="D25" s="6" t="s">
        <v>29</v>
      </c>
      <c r="E25" s="6" t="s">
        <v>51</v>
      </c>
      <c r="F25" s="6" t="s">
        <v>40</v>
      </c>
      <c r="G25" s="6" t="s">
        <v>5</v>
      </c>
      <c r="H25" s="6" t="s">
        <v>65</v>
      </c>
      <c r="I25" s="6">
        <f t="shared" si="0"/>
        <v>0</v>
      </c>
    </row>
    <row r="26" spans="1:9" s="6" customFormat="1">
      <c r="A26" s="7">
        <v>45226</v>
      </c>
      <c r="B26" s="6" t="s">
        <v>64</v>
      </c>
      <c r="C26" s="6" t="s">
        <v>28</v>
      </c>
      <c r="D26" s="6" t="s">
        <v>29</v>
      </c>
      <c r="E26" s="6" t="s">
        <v>51</v>
      </c>
      <c r="F26" s="6" t="s">
        <v>48</v>
      </c>
      <c r="G26" s="6" t="s">
        <v>5</v>
      </c>
      <c r="H26" s="6" t="s">
        <v>60</v>
      </c>
      <c r="I26" s="6">
        <f t="shared" si="0"/>
        <v>0</v>
      </c>
    </row>
    <row r="27" spans="1:9" s="6" customFormat="1">
      <c r="A27" s="7">
        <v>45226</v>
      </c>
      <c r="B27" s="6" t="s">
        <v>66</v>
      </c>
      <c r="C27" s="6" t="s">
        <v>16</v>
      </c>
      <c r="D27" s="6" t="s">
        <v>17</v>
      </c>
      <c r="E27" s="6" t="s">
        <v>44</v>
      </c>
      <c r="F27" s="6" t="s">
        <v>45</v>
      </c>
      <c r="G27" s="6" t="s">
        <v>4</v>
      </c>
      <c r="H27" s="6" t="s">
        <v>57</v>
      </c>
      <c r="I27" s="6">
        <f t="shared" si="0"/>
        <v>3</v>
      </c>
    </row>
    <row r="28" spans="1:9" s="6" customFormat="1">
      <c r="A28" s="7">
        <v>45226</v>
      </c>
      <c r="B28" s="6" t="s">
        <v>66</v>
      </c>
      <c r="C28" s="6" t="s">
        <v>16</v>
      </c>
      <c r="D28" s="6" t="s">
        <v>17</v>
      </c>
      <c r="E28" s="6" t="s">
        <v>44</v>
      </c>
      <c r="F28" s="6" t="s">
        <v>45</v>
      </c>
      <c r="G28" s="6" t="s">
        <v>4</v>
      </c>
      <c r="H28" s="6" t="s">
        <v>57</v>
      </c>
      <c r="I28" s="6">
        <f t="shared" si="0"/>
        <v>3</v>
      </c>
    </row>
    <row r="29" spans="1:9" s="6" customFormat="1">
      <c r="A29" s="7">
        <v>45226</v>
      </c>
      <c r="B29" s="6" t="s">
        <v>66</v>
      </c>
      <c r="C29" s="6" t="s">
        <v>16</v>
      </c>
      <c r="D29" s="6" t="s">
        <v>17</v>
      </c>
      <c r="E29" s="6" t="s">
        <v>44</v>
      </c>
      <c r="F29" s="6" t="s">
        <v>45</v>
      </c>
      <c r="G29" s="6" t="s">
        <v>4</v>
      </c>
      <c r="H29" s="6" t="s">
        <v>59</v>
      </c>
      <c r="I29" s="6">
        <f t="shared" si="0"/>
        <v>3</v>
      </c>
    </row>
    <row r="30" spans="1:9" s="6" customFormat="1">
      <c r="A30" s="7">
        <v>45226</v>
      </c>
      <c r="B30" s="6" t="s">
        <v>67</v>
      </c>
      <c r="C30" s="6" t="s">
        <v>19</v>
      </c>
      <c r="D30" s="6" t="s">
        <v>20</v>
      </c>
      <c r="E30" s="6" t="s">
        <v>47</v>
      </c>
      <c r="F30" s="6" t="s">
        <v>45</v>
      </c>
      <c r="G30" s="6" t="s">
        <v>5</v>
      </c>
      <c r="H30" s="6" t="s">
        <v>49</v>
      </c>
      <c r="I30" s="6">
        <f t="shared" si="0"/>
        <v>0</v>
      </c>
    </row>
    <row r="31" spans="1:9" s="6" customFormat="1">
      <c r="A31" s="7">
        <v>45226</v>
      </c>
      <c r="B31" s="6" t="s">
        <v>67</v>
      </c>
      <c r="C31" s="6" t="s">
        <v>19</v>
      </c>
      <c r="D31" s="6" t="s">
        <v>20</v>
      </c>
      <c r="E31" s="6" t="s">
        <v>47</v>
      </c>
      <c r="F31" s="6" t="s">
        <v>48</v>
      </c>
      <c r="G31" s="6" t="s">
        <v>5</v>
      </c>
      <c r="H31" s="6" t="s">
        <v>49</v>
      </c>
      <c r="I31" s="6">
        <f t="shared" si="0"/>
        <v>0</v>
      </c>
    </row>
    <row r="32" spans="1:9" s="6" customFormat="1">
      <c r="A32" s="7">
        <v>45226</v>
      </c>
      <c r="B32" s="6" t="s">
        <v>68</v>
      </c>
      <c r="C32" s="6" t="s">
        <v>22</v>
      </c>
      <c r="D32" s="6" t="s">
        <v>23</v>
      </c>
      <c r="E32" s="6" t="s">
        <v>54</v>
      </c>
      <c r="F32" s="6" t="s">
        <v>45</v>
      </c>
      <c r="G32" s="6" t="s">
        <v>4</v>
      </c>
      <c r="H32" s="6" t="s">
        <v>58</v>
      </c>
      <c r="I32" s="6">
        <f t="shared" si="0"/>
        <v>3</v>
      </c>
    </row>
    <row r="33" spans="1:9" s="6" customFormat="1">
      <c r="A33" s="7">
        <v>45226</v>
      </c>
      <c r="B33" s="6" t="s">
        <v>68</v>
      </c>
      <c r="C33" s="6" t="s">
        <v>22</v>
      </c>
      <c r="D33" s="6" t="s">
        <v>23</v>
      </c>
      <c r="E33" s="6" t="s">
        <v>54</v>
      </c>
      <c r="F33" s="6" t="s">
        <v>45</v>
      </c>
      <c r="G33" s="6" t="s">
        <v>4</v>
      </c>
      <c r="H33" s="6" t="s">
        <v>58</v>
      </c>
      <c r="I33" s="6">
        <f t="shared" si="0"/>
        <v>3</v>
      </c>
    </row>
    <row r="34" spans="1:9" s="6" customFormat="1">
      <c r="A34" s="7">
        <v>45226</v>
      </c>
      <c r="B34" s="6" t="s">
        <v>68</v>
      </c>
      <c r="C34" s="6" t="s">
        <v>22</v>
      </c>
      <c r="D34" s="6" t="s">
        <v>23</v>
      </c>
      <c r="E34" s="6" t="s">
        <v>54</v>
      </c>
      <c r="F34" s="6" t="s">
        <v>45</v>
      </c>
      <c r="G34" s="6" t="s">
        <v>4</v>
      </c>
      <c r="H34" s="6" t="s">
        <v>69</v>
      </c>
      <c r="I34" s="6">
        <f t="shared" si="0"/>
        <v>3</v>
      </c>
    </row>
    <row r="35" spans="1:9">
      <c r="A35" s="2"/>
    </row>
  </sheetData>
  <printOptions headings="1"/>
  <pageMargins left="0.7" right="0.7" top="0.75" bottom="0.75" header="0.3" footer="0.3"/>
  <rowBreaks count="1" manualBreakCount="1">
    <brk id="1" max="16383" man="1"/>
  </rowBreak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2026-02-07T06:00:15Z</dcterms:created>
  <dcterms:modified xsi:type="dcterms:W3CDTF">2026-02-10T04:51:52Z</dcterms:modified>
  <cp:category/>
  <cp:contentStatus/>
</cp:coreProperties>
</file>